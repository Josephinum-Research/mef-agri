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 updateLinks="always"/>
  <mc:AlternateContent xmlns:mc="http://schemas.openxmlformats.org/markup-compatibility/2006">
    <mc:Choice Requires="x15">
      <x15ac:absPath xmlns:x15ac="http://schemas.microsoft.com/office/spreadsheetml/2010/11/ac" url="K:\Projekte\Innovation Farm\3_Arbeitsprogramm, Use Cases\Datenbank_Modellierung\Datenbank_Bäck_WW_2025\"/>
    </mc:Choice>
  </mc:AlternateContent>
  <xr:revisionPtr revIDLastSave="113" documentId="11_EBDA4D936DEE6282388E164C2D2EA65F2A41B3C7" xr6:coauthVersionLast="47" xr6:coauthVersionMax="47" xr10:uidLastSave="{264EB5F7-0DE1-45FA-B3A7-3EBC4E3051AD}"/>
  <bookViews>
    <workbookView xWindow="0" yWindow="0" windowWidth="19200" windowHeight="8250" firstSheet="5" activeTab="5" xr2:uid="{00000000-000D-0000-FFFF-FFFF00000000}"/>
  </bookViews>
  <sheets>
    <sheet name="fielddata" sheetId="25" r:id="rId1"/>
    <sheet name="soilsamples" sheetId="34" r:id="rId2"/>
    <sheet name="tillage" sheetId="28" r:id="rId3"/>
    <sheet name="fertilization" sheetId="29" r:id="rId4"/>
    <sheet name="cropprotection" sheetId="32" r:id="rId5"/>
    <sheet name="harvest" sheetId="1" r:id="rId6"/>
    <sheet name="biomass" sheetId="31" r:id="rId7"/>
    <sheet name="Umrechnungsfaktor" sheetId="38" r:id="rId8"/>
  </sheets>
  <definedNames>
    <definedName name="_xlnm.Database">harvest!$A$1:$AC$1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</calcChain>
</file>

<file path=xl/sharedStrings.xml><?xml version="1.0" encoding="utf-8"?>
<sst xmlns="http://schemas.openxmlformats.org/spreadsheetml/2006/main" count="239" uniqueCount="117">
  <si>
    <t>Feldname</t>
  </si>
  <si>
    <t>PID</t>
  </si>
  <si>
    <t>Wiederholung</t>
  </si>
  <si>
    <t>Variante</t>
  </si>
  <si>
    <t>Kultur</t>
  </si>
  <si>
    <t>Sorte</t>
  </si>
  <si>
    <t>AussaatdatumKultur</t>
  </si>
  <si>
    <t>AussaatstaerkeKultur</t>
  </si>
  <si>
    <t>Pflanzen</t>
  </si>
  <si>
    <t>Zwischenfrucht</t>
  </si>
  <si>
    <t>ZFAussaatdatum</t>
  </si>
  <si>
    <t>AussaatstaerkeZF</t>
  </si>
  <si>
    <t>Ernterueckstaendevorhanden</t>
  </si>
  <si>
    <t>Ernterueckstaendemasse</t>
  </si>
  <si>
    <t>Einheit</t>
  </si>
  <si>
    <t>Text</t>
  </si>
  <si>
    <t>Nummer</t>
  </si>
  <si>
    <t>ddmmyy</t>
  </si>
  <si>
    <t>kg/ha</t>
  </si>
  <si>
    <t>pflanzen/m2</t>
  </si>
  <si>
    <t>körner/m2</t>
  </si>
  <si>
    <t>true/false</t>
  </si>
  <si>
    <t>Mayerland</t>
  </si>
  <si>
    <t>konstant</t>
  </si>
  <si>
    <t>WW</t>
  </si>
  <si>
    <t>2024-10-23</t>
  </si>
  <si>
    <t>Konstant</t>
  </si>
  <si>
    <t>AnalysenNr</t>
  </si>
  <si>
    <t>Probenbezeichnung</t>
  </si>
  <si>
    <t>SID</t>
  </si>
  <si>
    <t>Datum</t>
  </si>
  <si>
    <t>Beprobungstiefe</t>
  </si>
  <si>
    <t>Wassergehalt zu Nmin</t>
  </si>
  <si>
    <t>NO3N</t>
  </si>
  <si>
    <t>NH4N</t>
  </si>
  <si>
    <t>Nmin</t>
  </si>
  <si>
    <t>N an</t>
  </si>
  <si>
    <t>C an</t>
  </si>
  <si>
    <t>H an</t>
  </si>
  <si>
    <t xml:space="preserve"> H2O an</t>
  </si>
  <si>
    <t xml:space="preserve"> N wf</t>
  </si>
  <si>
    <t>C wf</t>
  </si>
  <si>
    <t xml:space="preserve">
Humusgehalt</t>
  </si>
  <si>
    <t>Umrechnungsfaktor</t>
  </si>
  <si>
    <t>NminWerte</t>
  </si>
  <si>
    <t>Humus</t>
  </si>
  <si>
    <t>Zahl</t>
  </si>
  <si>
    <t>masse%</t>
  </si>
  <si>
    <t>mg/kg</t>
  </si>
  <si>
    <t>%</t>
  </si>
  <si>
    <t>BodenbearbeitungGeraet</t>
  </si>
  <si>
    <t>BodenbearbeitungTiefe</t>
  </si>
  <si>
    <t>text</t>
  </si>
  <si>
    <t>Duengerart</t>
  </si>
  <si>
    <t>DuengerMenge</t>
  </si>
  <si>
    <t>1DuengerMenge</t>
  </si>
  <si>
    <t>DuengeN</t>
  </si>
  <si>
    <t>DuengeP</t>
  </si>
  <si>
    <t>DuengeK</t>
  </si>
  <si>
    <t>l/ha</t>
  </si>
  <si>
    <t>2025-02-20</t>
  </si>
  <si>
    <t>Petiso</t>
  </si>
  <si>
    <t>2025-03-28</t>
  </si>
  <si>
    <t>2025-04-18</t>
  </si>
  <si>
    <t>NAC</t>
  </si>
  <si>
    <t>2025-05-13</t>
  </si>
  <si>
    <t>ID</t>
  </si>
  <si>
    <t>PSArt</t>
  </si>
  <si>
    <t>PSWirkstoff1</t>
  </si>
  <si>
    <t>PSWirkstoff2</t>
  </si>
  <si>
    <t>WirkstoffMenge1</t>
  </si>
  <si>
    <t>WirkstoffMenge2</t>
  </si>
  <si>
    <t>PSWasserMenge</t>
  </si>
  <si>
    <t>g/ha</t>
  </si>
  <si>
    <t>HID</t>
  </si>
  <si>
    <t>Parzellenlaenge</t>
  </si>
  <si>
    <t>Parzellenbreite</t>
  </si>
  <si>
    <t>Probeflaeche</t>
  </si>
  <si>
    <t>FMKornErtrag</t>
  </si>
  <si>
    <t>Strohgewicht</t>
  </si>
  <si>
    <t>Feuchte</t>
  </si>
  <si>
    <t>TSKornErtrag</t>
  </si>
  <si>
    <t xml:space="preserve">Protein </t>
  </si>
  <si>
    <t>FMErtragAusreißerkorr</t>
  </si>
  <si>
    <t>TSErtragAusreißerkorr</t>
  </si>
  <si>
    <t>StrohAusreißerkorr</t>
  </si>
  <si>
    <t>Kleber</t>
  </si>
  <si>
    <t>Sedimentationswert</t>
  </si>
  <si>
    <t>Schuettdichte</t>
  </si>
  <si>
    <t>NEntzug</t>
  </si>
  <si>
    <t>NBilanz</t>
  </si>
  <si>
    <t xml:space="preserve">N-Entzug </t>
  </si>
  <si>
    <t>g</t>
  </si>
  <si>
    <t>ml</t>
  </si>
  <si>
    <t>kg/m3</t>
  </si>
  <si>
    <t>1c</t>
  </si>
  <si>
    <t>2025-08-21</t>
  </si>
  <si>
    <t>1d</t>
  </si>
  <si>
    <t>2c</t>
  </si>
  <si>
    <t>2d</t>
  </si>
  <si>
    <t>BID</t>
  </si>
  <si>
    <t>Zone</t>
  </si>
  <si>
    <t>Tara</t>
  </si>
  <si>
    <t>Ewbrutto</t>
  </si>
  <si>
    <t>AWbrutto</t>
  </si>
  <si>
    <t>TSGehalt</t>
  </si>
  <si>
    <t>Parzellenflaeche</t>
  </si>
  <si>
    <t>FM</t>
  </si>
  <si>
    <t>FMErtrag</t>
  </si>
  <si>
    <t>TSErtrag</t>
  </si>
  <si>
    <t>Beschreibung</t>
  </si>
  <si>
    <t>Naufnahme</t>
  </si>
  <si>
    <t>Nentzug</t>
  </si>
  <si>
    <t>m2</t>
  </si>
  <si>
    <t>Umrechnungsfaktor von N in mg/kg auf N in kg/ha bezogen auf 30 cm Bodentiefe</t>
  </si>
  <si>
    <t>% Humus</t>
  </si>
  <si>
    <t>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</si>
</sst>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"/>
    <numFmt numFmtId="165" formatCode="0.0000"/>
    <numFmt numFmtId="166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2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 wrapText="1"/>
    </xf>
    <xf numFmtId="1" fontId="0" fillId="0" borderId="10" xfId="0" applyNumberFormat="1" applyBorder="1"/>
    <xf numFmtId="165" fontId="0" fillId="0" borderId="10" xfId="0" applyNumberFormat="1" applyBorder="1"/>
    <xf numFmtId="0" fontId="0" fillId="0" borderId="10" xfId="0" applyBorder="1"/>
    <xf numFmtId="0" fontId="0" fillId="34" borderId="0" xfId="0" applyFill="1"/>
    <xf numFmtId="0" fontId="0" fillId="34" borderId="10" xfId="0" applyFill="1" applyBorder="1" applyAlignment="1">
      <alignment horizontal="center"/>
    </xf>
    <xf numFmtId="2" fontId="0" fillId="0" borderId="10" xfId="0" applyNumberFormat="1" applyBorder="1"/>
    <xf numFmtId="166" fontId="0" fillId="0" borderId="10" xfId="0" applyNumberFormat="1" applyBorder="1"/>
    <xf numFmtId="0" fontId="18" fillId="0" borderId="10" xfId="0" applyFont="1" applyBorder="1" applyAlignment="1">
      <alignment horizontal="center"/>
    </xf>
    <xf numFmtId="0" fontId="20" fillId="0" borderId="10" xfId="0" applyFont="1" applyBorder="1"/>
    <xf numFmtId="0" fontId="20" fillId="0" borderId="0" xfId="0" applyFont="1"/>
    <xf numFmtId="0" fontId="0" fillId="0" borderId="11" xfId="0" applyBorder="1"/>
    <xf numFmtId="49" fontId="0" fillId="0" borderId="0" xfId="0" applyNumberFormat="1" applyAlignment="1">
      <alignment horizontal="right"/>
    </xf>
    <xf numFmtId="49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4" xfId="42" xr:uid="{00000000-0005-0000-0000-000022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D60" sqref="D60"/>
    </sheetView>
  </sheetViews>
  <sheetFormatPr defaultColWidth="11.42578125" defaultRowHeight="15"/>
  <cols>
    <col min="2" max="2" width="15.28515625" customWidth="1"/>
    <col min="3" max="3" width="27.5703125" bestFit="1" customWidth="1"/>
    <col min="4" max="4" width="25.5703125" bestFit="1" customWidth="1"/>
    <col min="5" max="5" width="30.28515625" customWidth="1"/>
    <col min="6" max="6" width="30.42578125" customWidth="1"/>
    <col min="7" max="7" width="32" customWidth="1"/>
    <col min="8" max="8" width="32" bestFit="1" customWidth="1"/>
    <col min="9" max="9" width="26.85546875" customWidth="1"/>
    <col min="10" max="10" width="31.85546875" customWidth="1"/>
    <col min="11" max="11" width="35.140625" customWidth="1"/>
    <col min="12" max="12" width="27.85546875" customWidth="1"/>
    <col min="13" max="13" width="32.85546875" customWidth="1"/>
    <col min="14" max="14" width="29.140625" customWidth="1"/>
    <col min="15" max="15" width="35.28515625" customWidth="1"/>
    <col min="16" max="16" width="32.42578125" customWidth="1"/>
    <col min="17" max="17" width="30.42578125" customWidth="1"/>
    <col min="18" max="18" width="26.42578125" customWidth="1"/>
    <col min="19" max="19" width="31.140625" customWidth="1"/>
    <col min="20" max="20" width="14.5703125" customWidth="1"/>
    <col min="21" max="21" width="13.5703125" bestFit="1" customWidth="1"/>
    <col min="22" max="22" width="4.140625" customWidth="1"/>
    <col min="23" max="23" width="30.42578125" customWidth="1"/>
    <col min="24" max="24" width="12.7109375" bestFit="1" customWidth="1"/>
    <col min="25" max="25" width="31.140625" bestFit="1" customWidth="1"/>
    <col min="26" max="26" width="19" bestFit="1" customWidth="1"/>
    <col min="27" max="27" width="11.85546875" bestFit="1" customWidth="1"/>
    <col min="28" max="28" width="30.28515625" bestFit="1" customWidth="1"/>
    <col min="29" max="29" width="18.140625" bestFit="1" customWidth="1"/>
    <col min="30" max="30" width="11.85546875" bestFit="1" customWidth="1"/>
    <col min="31" max="31" width="30.28515625" bestFit="1" customWidth="1"/>
    <col min="32" max="32" width="18.140625" bestFit="1" customWidth="1"/>
    <col min="33" max="33" width="36.140625" bestFit="1" customWidth="1"/>
    <col min="34" max="34" width="35.5703125" bestFit="1" customWidth="1"/>
    <col min="35" max="35" width="36.140625" bestFit="1" customWidth="1"/>
    <col min="36" max="37" width="36.140625" customWidth="1"/>
    <col min="38" max="38" width="35.5703125" bestFit="1" customWidth="1"/>
    <col min="39" max="39" width="5.7109375" bestFit="1" customWidth="1"/>
  </cols>
  <sheetData>
    <row r="1" spans="1:15" ht="45" customHeigh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spans="1:15">
      <c r="A2" t="s">
        <v>14</v>
      </c>
      <c r="B2" t="s">
        <v>15</v>
      </c>
      <c r="C2" t="s">
        <v>16</v>
      </c>
      <c r="D2" t="s">
        <v>16</v>
      </c>
      <c r="E2" t="s">
        <v>15</v>
      </c>
      <c r="F2" t="s">
        <v>15</v>
      </c>
      <c r="G2" t="s">
        <v>15</v>
      </c>
      <c r="H2" t="s">
        <v>17</v>
      </c>
      <c r="I2" t="s">
        <v>18</v>
      </c>
      <c r="J2" t="s">
        <v>19</v>
      </c>
      <c r="K2" t="s">
        <v>15</v>
      </c>
      <c r="L2" t="s">
        <v>17</v>
      </c>
      <c r="M2" t="s">
        <v>20</v>
      </c>
      <c r="N2" t="s">
        <v>21</v>
      </c>
      <c r="O2" t="s">
        <v>18</v>
      </c>
    </row>
    <row r="3" spans="1:15">
      <c r="B3" t="s">
        <v>22</v>
      </c>
      <c r="C3" s="18">
        <v>2</v>
      </c>
      <c r="E3" t="s">
        <v>23</v>
      </c>
      <c r="F3" t="s">
        <v>24</v>
      </c>
      <c r="H3" s="21" t="s">
        <v>25</v>
      </c>
      <c r="I3">
        <v>200</v>
      </c>
    </row>
    <row r="4" spans="1:15">
      <c r="B4" t="s">
        <v>22</v>
      </c>
      <c r="C4" s="18">
        <v>1</v>
      </c>
      <c r="E4" t="s">
        <v>26</v>
      </c>
      <c r="F4" t="s">
        <v>24</v>
      </c>
      <c r="H4" s="21" t="s">
        <v>25</v>
      </c>
      <c r="I4">
        <v>200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6"/>
  <sheetViews>
    <sheetView workbookViewId="0">
      <selection activeCell="E38" sqref="E38"/>
    </sheetView>
  </sheetViews>
  <sheetFormatPr defaultColWidth="11.42578125" defaultRowHeight="15"/>
  <cols>
    <col min="1" max="1" width="14.5703125" customWidth="1"/>
    <col min="2" max="2" width="27" customWidth="1"/>
    <col min="3" max="3" width="25.85546875" customWidth="1"/>
    <col min="4" max="4" width="15.85546875" customWidth="1"/>
    <col min="5" max="5" width="22.7109375" customWidth="1"/>
    <col min="6" max="6" width="19.85546875" customWidth="1"/>
    <col min="7" max="7" width="23.28515625" customWidth="1"/>
    <col min="8" max="8" width="19.5703125" customWidth="1"/>
    <col min="9" max="9" width="17.28515625" customWidth="1"/>
    <col min="10" max="10" width="21.7109375" customWidth="1"/>
    <col min="11" max="11" width="27.5703125" customWidth="1"/>
    <col min="12" max="12" width="21" customWidth="1"/>
    <col min="13" max="13" width="22.85546875" customWidth="1"/>
    <col min="14" max="14" width="19.42578125" customWidth="1"/>
    <col min="15" max="15" width="17.5703125" customWidth="1"/>
    <col min="16" max="16" width="21.28515625" customWidth="1"/>
    <col min="17" max="17" width="25.5703125" customWidth="1"/>
    <col min="18" max="18" width="23.140625" customWidth="1"/>
    <col min="21" max="21" width="18.5703125" customWidth="1"/>
    <col min="22" max="22" width="15.140625" customWidth="1"/>
  </cols>
  <sheetData>
    <row r="1" spans="1:23" ht="38.1" customHeight="1">
      <c r="B1" s="6" t="s">
        <v>27</v>
      </c>
      <c r="C1" s="8" t="s">
        <v>28</v>
      </c>
      <c r="D1" s="6" t="s">
        <v>1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8" t="s">
        <v>35</v>
      </c>
      <c r="L1" s="11" t="s">
        <v>36</v>
      </c>
      <c r="M1" s="11" t="s">
        <v>37</v>
      </c>
      <c r="N1" s="11" t="s">
        <v>38</v>
      </c>
      <c r="O1" s="11" t="s">
        <v>39</v>
      </c>
      <c r="P1" s="11" t="s">
        <v>40</v>
      </c>
      <c r="Q1" s="11" t="s">
        <v>41</v>
      </c>
      <c r="R1" s="8" t="s">
        <v>42</v>
      </c>
      <c r="S1" s="6" t="s">
        <v>43</v>
      </c>
      <c r="T1" s="6" t="s">
        <v>44</v>
      </c>
      <c r="U1" s="6" t="s">
        <v>45</v>
      </c>
      <c r="V1" s="6" t="s">
        <v>43</v>
      </c>
      <c r="W1" s="6" t="s">
        <v>44</v>
      </c>
    </row>
    <row r="2" spans="1:23">
      <c r="A2" t="s">
        <v>14</v>
      </c>
      <c r="B2" t="s">
        <v>16</v>
      </c>
      <c r="C2" t="s">
        <v>15</v>
      </c>
      <c r="D2" t="s">
        <v>16</v>
      </c>
      <c r="F2" t="s">
        <v>17</v>
      </c>
      <c r="G2" t="s">
        <v>46</v>
      </c>
      <c r="H2" t="s">
        <v>47</v>
      </c>
      <c r="I2" t="s">
        <v>48</v>
      </c>
      <c r="J2" t="s">
        <v>48</v>
      </c>
      <c r="K2" t="s">
        <v>48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47</v>
      </c>
      <c r="R2" t="s">
        <v>16</v>
      </c>
      <c r="S2" t="s">
        <v>18</v>
      </c>
      <c r="T2" t="s">
        <v>49</v>
      </c>
      <c r="V2" t="s">
        <v>18</v>
      </c>
      <c r="W2" t="s">
        <v>49</v>
      </c>
    </row>
    <row r="3" spans="1:23">
      <c r="O3" s="12"/>
      <c r="P3" s="12"/>
      <c r="Q3" s="12"/>
    </row>
    <row r="4" spans="1:23">
      <c r="O4" s="12"/>
      <c r="P4" s="12"/>
      <c r="Q4" s="12"/>
    </row>
    <row r="5" spans="1:23">
      <c r="O5" s="12"/>
      <c r="P5" s="12"/>
      <c r="Q5" s="12"/>
    </row>
    <row r="6" spans="1:23">
      <c r="O6" s="12"/>
      <c r="P6" s="12"/>
      <c r="Q6" s="12"/>
    </row>
    <row r="7" spans="1:23">
      <c r="O7" s="12"/>
      <c r="P7" s="12"/>
      <c r="Q7" s="12"/>
    </row>
    <row r="8" spans="1:23">
      <c r="O8" s="12"/>
      <c r="P8" s="12"/>
      <c r="Q8" s="12"/>
    </row>
    <row r="9" spans="1:23">
      <c r="O9" s="12"/>
      <c r="P9" s="12"/>
      <c r="Q9" s="12"/>
    </row>
    <row r="10" spans="1:23">
      <c r="O10" s="12"/>
      <c r="P10" s="12"/>
      <c r="Q10" s="12"/>
    </row>
    <row r="11" spans="1:23">
      <c r="O11" s="12"/>
      <c r="P11" s="12"/>
      <c r="Q11" s="12"/>
    </row>
    <row r="12" spans="1:23">
      <c r="O12" s="12"/>
      <c r="P12" s="12"/>
      <c r="Q12" s="12"/>
    </row>
    <row r="13" spans="1:23">
      <c r="O13" s="12"/>
      <c r="P13" s="12"/>
      <c r="Q13" s="12"/>
    </row>
    <row r="14" spans="1:23">
      <c r="O14" s="12"/>
      <c r="P14" s="12"/>
      <c r="Q14" s="12"/>
    </row>
    <row r="15" spans="1:23">
      <c r="O15" s="12"/>
      <c r="P15" s="12"/>
      <c r="Q15" s="12"/>
    </row>
    <row r="16" spans="1:23">
      <c r="O16" s="12"/>
      <c r="P16" s="12"/>
      <c r="Q16" s="12"/>
    </row>
    <row r="17" spans="15:17">
      <c r="O17" s="12"/>
      <c r="P17" s="12"/>
      <c r="Q17" s="12"/>
    </row>
    <row r="18" spans="15:17">
      <c r="O18" s="12"/>
      <c r="P18" s="12"/>
      <c r="Q18" s="12"/>
    </row>
    <row r="19" spans="15:17">
      <c r="O19" s="12"/>
      <c r="P19" s="12"/>
      <c r="Q19" s="12"/>
    </row>
    <row r="20" spans="15:17">
      <c r="O20" s="12"/>
      <c r="P20" s="12"/>
      <c r="Q20" s="12"/>
    </row>
    <row r="21" spans="15:17">
      <c r="O21" s="12"/>
      <c r="P21" s="12"/>
      <c r="Q21" s="12"/>
    </row>
    <row r="22" spans="15:17">
      <c r="O22" s="12"/>
      <c r="P22" s="12"/>
      <c r="Q22" s="12"/>
    </row>
    <row r="23" spans="15:17">
      <c r="O23" s="12"/>
      <c r="P23" s="12"/>
      <c r="Q23" s="12"/>
    </row>
    <row r="24" spans="15:17">
      <c r="O24" s="12"/>
      <c r="P24" s="12"/>
      <c r="Q24" s="12"/>
    </row>
    <row r="25" spans="15:17">
      <c r="O25" s="12"/>
      <c r="P25" s="12"/>
      <c r="Q25" s="12"/>
    </row>
    <row r="26" spans="15:17">
      <c r="O26" s="12"/>
      <c r="P26" s="12"/>
      <c r="Q26" s="12"/>
    </row>
    <row r="27" spans="15:17">
      <c r="O27" s="12"/>
      <c r="P27" s="12"/>
      <c r="Q27" s="12"/>
    </row>
    <row r="28" spans="15:17">
      <c r="O28" s="12"/>
      <c r="P28" s="12"/>
      <c r="Q28" s="12"/>
    </row>
    <row r="29" spans="15:17">
      <c r="O29" s="12"/>
      <c r="P29" s="12"/>
      <c r="Q29" s="12"/>
    </row>
    <row r="30" spans="15:17">
      <c r="O30" s="12"/>
      <c r="P30" s="12"/>
      <c r="Q30" s="12"/>
    </row>
    <row r="31" spans="15:17">
      <c r="O31" s="12"/>
      <c r="P31" s="12"/>
      <c r="Q31" s="12"/>
    </row>
    <row r="32" spans="15:17">
      <c r="O32" s="12"/>
      <c r="P32" s="12"/>
      <c r="Q32" s="12"/>
    </row>
    <row r="33" spans="15:17">
      <c r="O33" s="12"/>
      <c r="P33" s="12"/>
      <c r="Q33" s="12"/>
    </row>
    <row r="34" spans="15:17">
      <c r="O34" s="12"/>
      <c r="P34" s="12"/>
      <c r="Q34" s="12"/>
    </row>
    <row r="35" spans="15:17">
      <c r="O35" s="12"/>
      <c r="P35" s="12"/>
      <c r="Q35" s="12"/>
    </row>
    <row r="36" spans="15:17">
      <c r="O36" s="12"/>
      <c r="P36" s="12"/>
      <c r="Q36" s="12"/>
    </row>
    <row r="37" spans="15:17">
      <c r="O37" s="12"/>
      <c r="P37" s="12"/>
      <c r="Q37" s="12"/>
    </row>
    <row r="38" spans="15:17">
      <c r="O38" s="12"/>
      <c r="P38" s="12"/>
      <c r="Q38" s="12"/>
    </row>
    <row r="39" spans="15:17">
      <c r="O39" s="12"/>
      <c r="P39" s="12"/>
      <c r="Q39" s="12"/>
    </row>
    <row r="40" spans="15:17">
      <c r="O40" s="12"/>
      <c r="P40" s="12"/>
      <c r="Q40" s="12"/>
    </row>
    <row r="41" spans="15:17">
      <c r="O41" s="12"/>
      <c r="P41" s="12"/>
      <c r="Q41" s="12"/>
    </row>
    <row r="42" spans="15:17">
      <c r="O42" s="12"/>
      <c r="P42" s="12"/>
      <c r="Q42" s="12"/>
    </row>
    <row r="43" spans="15:17">
      <c r="O43" s="12"/>
      <c r="P43" s="12"/>
      <c r="Q43" s="12"/>
    </row>
    <row r="44" spans="15:17">
      <c r="O44" s="12"/>
      <c r="P44" s="12"/>
      <c r="Q44" s="12"/>
    </row>
    <row r="45" spans="15:17">
      <c r="O45" s="12"/>
      <c r="P45" s="12"/>
      <c r="Q45" s="12"/>
    </row>
    <row r="46" spans="15:17">
      <c r="O46" s="12"/>
      <c r="P46" s="12"/>
      <c r="Q46" s="12"/>
    </row>
    <row r="47" spans="15:17">
      <c r="O47" s="12"/>
      <c r="P47" s="12"/>
      <c r="Q47" s="12"/>
    </row>
    <row r="48" spans="15:17">
      <c r="O48" s="12"/>
      <c r="P48" s="12"/>
      <c r="Q48" s="12"/>
    </row>
    <row r="49" spans="15:17">
      <c r="O49" s="12"/>
      <c r="P49" s="12"/>
      <c r="Q49" s="12"/>
    </row>
    <row r="50" spans="15:17">
      <c r="O50" s="12"/>
      <c r="P50" s="12"/>
      <c r="Q50" s="12"/>
    </row>
    <row r="51" spans="15:17">
      <c r="O51" s="12"/>
      <c r="P51" s="12"/>
      <c r="Q51" s="12"/>
    </row>
    <row r="52" spans="15:17">
      <c r="O52" s="12"/>
      <c r="P52" s="12"/>
      <c r="Q52" s="12"/>
    </row>
    <row r="53" spans="15:17">
      <c r="O53" s="12"/>
      <c r="P53" s="12"/>
      <c r="Q53" s="12"/>
    </row>
    <row r="54" spans="15:17">
      <c r="O54" s="12"/>
      <c r="P54" s="12"/>
      <c r="Q54" s="12"/>
    </row>
    <row r="55" spans="15:17">
      <c r="O55" s="12"/>
      <c r="P55" s="12"/>
      <c r="Q55" s="12"/>
    </row>
    <row r="56" spans="15:17">
      <c r="O56" s="12"/>
      <c r="P56" s="12"/>
      <c r="Q56" s="1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B24" sqref="B24"/>
    </sheetView>
  </sheetViews>
  <sheetFormatPr defaultColWidth="11.42578125" defaultRowHeight="15"/>
  <cols>
    <col min="1" max="2" width="33.28515625" customWidth="1"/>
    <col min="3" max="3" width="34.140625" customWidth="1"/>
    <col min="4" max="4" width="27.85546875" customWidth="1"/>
    <col min="5" max="5" width="25.85546875" customWidth="1"/>
    <col min="6" max="6" width="29.42578125" customWidth="1"/>
    <col min="7" max="7" width="25.28515625" customWidth="1"/>
    <col min="8" max="8" width="25.5703125" customWidth="1"/>
    <col min="9" max="9" width="40.7109375" customWidth="1"/>
    <col min="10" max="10" width="29.140625" customWidth="1"/>
    <col min="11" max="11" width="30.42578125" customWidth="1"/>
    <col min="12" max="12" width="22.5703125" customWidth="1"/>
    <col min="13" max="13" width="22.140625" customWidth="1"/>
  </cols>
  <sheetData>
    <row r="1" spans="1:5" ht="39.6" customHeight="1">
      <c r="B1" s="16" t="s">
        <v>1</v>
      </c>
      <c r="C1" s="6" t="s">
        <v>30</v>
      </c>
      <c r="D1" s="6" t="s">
        <v>50</v>
      </c>
      <c r="E1" s="6" t="s">
        <v>51</v>
      </c>
    </row>
    <row r="2" spans="1:5">
      <c r="A2" t="s">
        <v>14</v>
      </c>
      <c r="C2" t="s">
        <v>17</v>
      </c>
      <c r="D2" t="s">
        <v>52</v>
      </c>
      <c r="E2" t="s">
        <v>16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zoomScale="90" zoomScaleNormal="90" workbookViewId="0">
      <selection activeCell="C19" sqref="C19"/>
    </sheetView>
  </sheetViews>
  <sheetFormatPr defaultColWidth="11.42578125" defaultRowHeight="15"/>
  <cols>
    <col min="1" max="1" width="22.85546875" customWidth="1"/>
    <col min="2" max="2" width="30.7109375" customWidth="1"/>
    <col min="3" max="3" width="32.28515625" customWidth="1"/>
    <col min="4" max="4" width="28.7109375" customWidth="1"/>
    <col min="5" max="5" width="30.7109375" customWidth="1"/>
    <col min="6" max="6" width="29.5703125" customWidth="1"/>
    <col min="7" max="7" width="32.5703125" customWidth="1"/>
    <col min="8" max="8" width="24.5703125" customWidth="1"/>
    <col min="9" max="9" width="21" customWidth="1"/>
    <col min="10" max="10" width="32.28515625" customWidth="1"/>
    <col min="11" max="11" width="31.7109375" customWidth="1"/>
    <col min="12" max="12" width="27.5703125" customWidth="1"/>
    <col min="13" max="14" width="31.5703125" customWidth="1"/>
    <col min="15" max="15" width="34.85546875" customWidth="1"/>
    <col min="16" max="16" width="26.5703125" customWidth="1"/>
    <col min="17" max="17" width="26.42578125" customWidth="1"/>
    <col min="18" max="18" width="25.42578125" customWidth="1"/>
    <col min="19" max="19" width="28.140625" customWidth="1"/>
    <col min="20" max="20" width="26.7109375" customWidth="1"/>
    <col min="21" max="21" width="27.28515625" customWidth="1"/>
    <col min="22" max="22" width="27.85546875" customWidth="1"/>
    <col min="23" max="23" width="22.5703125" customWidth="1"/>
    <col min="24" max="24" width="29.7109375" customWidth="1"/>
    <col min="25" max="25" width="23.5703125" customWidth="1"/>
    <col min="26" max="26" width="26" customWidth="1"/>
    <col min="27" max="27" width="24.140625" customWidth="1"/>
    <col min="28" max="28" width="21" customWidth="1"/>
    <col min="29" max="29" width="22.5703125" customWidth="1"/>
    <col min="30" max="30" width="17.28515625" customWidth="1"/>
  </cols>
  <sheetData>
    <row r="1" spans="1:11" ht="36.6" customHeight="1">
      <c r="B1" s="6" t="s">
        <v>1</v>
      </c>
      <c r="C1" s="6" t="s">
        <v>30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7"/>
      <c r="K1" s="7"/>
    </row>
    <row r="2" spans="1:11">
      <c r="A2" t="s">
        <v>14</v>
      </c>
      <c r="B2" t="s">
        <v>16</v>
      </c>
      <c r="C2" t="s">
        <v>17</v>
      </c>
      <c r="D2" t="s">
        <v>15</v>
      </c>
      <c r="E2" t="s">
        <v>18</v>
      </c>
      <c r="F2" t="s">
        <v>59</v>
      </c>
      <c r="G2" t="s">
        <v>18</v>
      </c>
      <c r="H2" t="s">
        <v>18</v>
      </c>
      <c r="I2" t="s">
        <v>18</v>
      </c>
    </row>
    <row r="3" spans="1:11">
      <c r="B3">
        <v>2</v>
      </c>
      <c r="C3" s="21" t="s">
        <v>60</v>
      </c>
      <c r="D3" t="s">
        <v>61</v>
      </c>
      <c r="E3">
        <v>146</v>
      </c>
      <c r="G3">
        <v>35</v>
      </c>
    </row>
    <row r="4" spans="1:11">
      <c r="B4">
        <v>1</v>
      </c>
      <c r="C4" s="21" t="s">
        <v>60</v>
      </c>
      <c r="D4" t="s">
        <v>61</v>
      </c>
      <c r="E4">
        <v>146</v>
      </c>
      <c r="G4">
        <v>35</v>
      </c>
    </row>
    <row r="5" spans="1:11">
      <c r="B5">
        <v>2</v>
      </c>
      <c r="C5" s="21" t="s">
        <v>62</v>
      </c>
      <c r="D5" t="s">
        <v>61</v>
      </c>
      <c r="E5">
        <v>105</v>
      </c>
      <c r="G5">
        <v>25</v>
      </c>
    </row>
    <row r="6" spans="1:11">
      <c r="B6">
        <v>1</v>
      </c>
      <c r="C6" s="21" t="s">
        <v>62</v>
      </c>
      <c r="D6" t="s">
        <v>61</v>
      </c>
      <c r="E6">
        <v>105</v>
      </c>
      <c r="G6">
        <v>25</v>
      </c>
    </row>
    <row r="7" spans="1:11">
      <c r="B7">
        <v>2</v>
      </c>
      <c r="C7" s="21" t="s">
        <v>63</v>
      </c>
      <c r="D7" t="s">
        <v>64</v>
      </c>
      <c r="E7">
        <v>185</v>
      </c>
      <c r="G7">
        <v>50</v>
      </c>
    </row>
    <row r="8" spans="1:11">
      <c r="B8">
        <v>1</v>
      </c>
      <c r="C8" s="21" t="s">
        <v>63</v>
      </c>
      <c r="D8" t="s">
        <v>64</v>
      </c>
      <c r="E8">
        <v>185</v>
      </c>
      <c r="G8">
        <v>50</v>
      </c>
    </row>
    <row r="9" spans="1:11">
      <c r="B9">
        <v>2</v>
      </c>
      <c r="C9" s="21" t="s">
        <v>65</v>
      </c>
      <c r="D9" t="s">
        <v>64</v>
      </c>
      <c r="E9">
        <v>185</v>
      </c>
      <c r="G9">
        <v>50</v>
      </c>
    </row>
    <row r="10" spans="1:11">
      <c r="B10">
        <v>1</v>
      </c>
      <c r="C10" s="21" t="s">
        <v>65</v>
      </c>
      <c r="D10" t="s">
        <v>64</v>
      </c>
      <c r="E10">
        <v>185</v>
      </c>
      <c r="G10">
        <v>50</v>
      </c>
    </row>
    <row r="11" spans="1:11">
      <c r="C11" s="21"/>
    </row>
    <row r="12" spans="1:11">
      <c r="C12" s="21"/>
    </row>
    <row r="13" spans="1:11">
      <c r="C13" s="21"/>
    </row>
    <row r="14" spans="1:11">
      <c r="C14" s="21"/>
    </row>
    <row r="15" spans="1:11">
      <c r="C15" s="21"/>
    </row>
    <row r="16" spans="1:11">
      <c r="C16" s="21"/>
    </row>
    <row r="17" spans="3:3">
      <c r="C17" s="21"/>
    </row>
    <row r="18" spans="3:3">
      <c r="C18" s="21"/>
    </row>
    <row r="19" spans="3:3">
      <c r="C19" s="21"/>
    </row>
    <row r="20" spans="3:3">
      <c r="C20" s="21"/>
    </row>
    <row r="21" spans="3:3">
      <c r="C21" s="21"/>
    </row>
    <row r="22" spans="3:3">
      <c r="C22" s="21"/>
    </row>
    <row r="23" spans="3:3">
      <c r="C23" s="21"/>
    </row>
    <row r="24" spans="3:3">
      <c r="C24" s="21"/>
    </row>
    <row r="25" spans="3:3">
      <c r="C25" s="21"/>
    </row>
    <row r="26" spans="3:3">
      <c r="C26" s="21"/>
    </row>
    <row r="27" spans="3:3">
      <c r="C27" s="21"/>
    </row>
    <row r="28" spans="3:3">
      <c r="C28" s="21"/>
    </row>
    <row r="29" spans="3:3">
      <c r="C29" s="21"/>
    </row>
    <row r="30" spans="3:3">
      <c r="C30" s="21"/>
    </row>
    <row r="31" spans="3:3">
      <c r="C31" s="21"/>
    </row>
    <row r="32" spans="3:3">
      <c r="C32" s="21"/>
    </row>
    <row r="33" spans="3:3">
      <c r="C33" s="21"/>
    </row>
    <row r="34" spans="3:3">
      <c r="C34" s="21"/>
    </row>
    <row r="35" spans="3:3">
      <c r="C35" s="21"/>
    </row>
    <row r="36" spans="3:3">
      <c r="C36" s="21"/>
    </row>
    <row r="37" spans="3:3">
      <c r="C37" s="21"/>
    </row>
    <row r="38" spans="3:3">
      <c r="C38" s="21"/>
    </row>
    <row r="39" spans="3:3">
      <c r="C39" s="21"/>
    </row>
    <row r="40" spans="3:3">
      <c r="C40" s="21"/>
    </row>
    <row r="41" spans="3:3">
      <c r="C41" s="21"/>
    </row>
    <row r="42" spans="3:3">
      <c r="C42" s="21"/>
    </row>
    <row r="43" spans="3:3">
      <c r="C43" s="2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8"/>
  <sheetViews>
    <sheetView topLeftCell="D1" workbookViewId="0">
      <selection activeCell="F38" sqref="F38"/>
    </sheetView>
  </sheetViews>
  <sheetFormatPr defaultColWidth="8.7109375" defaultRowHeight="15"/>
  <cols>
    <col min="1" max="1" width="14.5703125" customWidth="1"/>
    <col min="2" max="2" width="17.85546875" customWidth="1"/>
    <col min="3" max="3" width="26.140625" customWidth="1"/>
    <col min="4" max="5" width="28" customWidth="1"/>
    <col min="6" max="6" width="31.42578125" customWidth="1"/>
    <col min="7" max="7" width="26.5703125" customWidth="1"/>
    <col min="8" max="8" width="24.7109375" customWidth="1"/>
    <col min="9" max="9" width="23.7109375" customWidth="1"/>
    <col min="10" max="10" width="29" customWidth="1"/>
    <col min="11" max="11" width="22.5703125" bestFit="1" customWidth="1"/>
    <col min="12" max="12" width="27.140625" customWidth="1"/>
    <col min="13" max="13" width="23.140625" customWidth="1"/>
    <col min="14" max="14" width="23.85546875" customWidth="1"/>
    <col min="15" max="15" width="26.140625" customWidth="1"/>
    <col min="16" max="16" width="27.85546875" customWidth="1"/>
    <col min="17" max="17" width="26.42578125" customWidth="1"/>
    <col min="18" max="18" width="25.7109375" customWidth="1"/>
    <col min="19" max="19" width="25.5703125" customWidth="1"/>
    <col min="20" max="20" width="24.85546875" customWidth="1"/>
    <col min="21" max="21" width="26.5703125" customWidth="1"/>
    <col min="22" max="22" width="27" customWidth="1"/>
    <col min="23" max="23" width="26.140625" customWidth="1"/>
    <col min="24" max="24" width="25.5703125" customWidth="1"/>
    <col min="25" max="25" width="25.42578125" customWidth="1"/>
    <col min="26" max="26" width="19.85546875" customWidth="1"/>
    <col min="27" max="27" width="19.42578125" customWidth="1"/>
    <col min="28" max="28" width="25.140625" customWidth="1"/>
    <col min="29" max="29" width="25.85546875" customWidth="1"/>
    <col min="30" max="30" width="28.140625" customWidth="1"/>
    <col min="31" max="31" width="29.42578125" customWidth="1"/>
    <col min="32" max="32" width="30" customWidth="1"/>
  </cols>
  <sheetData>
    <row r="1" spans="1:11" ht="30" customHeight="1">
      <c r="A1" s="12"/>
      <c r="B1" s="13" t="s">
        <v>66</v>
      </c>
      <c r="C1" s="13" t="s">
        <v>2</v>
      </c>
      <c r="D1" s="6" t="s">
        <v>3</v>
      </c>
      <c r="E1" s="6" t="s">
        <v>30</v>
      </c>
      <c r="F1" s="6" t="s">
        <v>67</v>
      </c>
      <c r="G1" s="6" t="s">
        <v>68</v>
      </c>
      <c r="H1" s="6" t="s">
        <v>69</v>
      </c>
      <c r="I1" s="7" t="s">
        <v>70</v>
      </c>
      <c r="J1" s="7" t="s">
        <v>71</v>
      </c>
      <c r="K1" s="7" t="s">
        <v>72</v>
      </c>
    </row>
    <row r="2" spans="1:11">
      <c r="A2" s="12" t="s">
        <v>14</v>
      </c>
      <c r="B2" s="12" t="s">
        <v>16</v>
      </c>
      <c r="C2" s="12" t="s">
        <v>16</v>
      </c>
      <c r="D2" t="s">
        <v>16</v>
      </c>
      <c r="E2" t="s">
        <v>17</v>
      </c>
      <c r="F2" t="s">
        <v>15</v>
      </c>
      <c r="G2" t="s">
        <v>52</v>
      </c>
      <c r="H2" t="s">
        <v>52</v>
      </c>
      <c r="I2" t="s">
        <v>73</v>
      </c>
      <c r="J2" t="s">
        <v>73</v>
      </c>
      <c r="K2" t="s">
        <v>59</v>
      </c>
    </row>
    <row r="3" spans="1:11">
      <c r="A3" s="12"/>
      <c r="B3" s="12"/>
      <c r="C3" s="12"/>
    </row>
    <row r="4" spans="1:11">
      <c r="A4" s="12"/>
      <c r="B4" s="12"/>
      <c r="C4" s="12"/>
    </row>
    <row r="5" spans="1:11">
      <c r="A5" s="12"/>
      <c r="B5" s="12"/>
      <c r="C5" s="12"/>
    </row>
    <row r="6" spans="1:11">
      <c r="A6" s="12"/>
      <c r="B6" s="12"/>
      <c r="C6" s="12"/>
    </row>
    <row r="7" spans="1:11">
      <c r="A7" s="12"/>
      <c r="B7" s="12"/>
      <c r="C7" s="12"/>
    </row>
    <row r="8" spans="1:11">
      <c r="A8" s="12"/>
      <c r="B8" s="12"/>
      <c r="C8" s="12"/>
    </row>
    <row r="9" spans="1:11">
      <c r="A9" s="12"/>
      <c r="B9" s="12"/>
      <c r="C9" s="12"/>
    </row>
    <row r="10" spans="1:11">
      <c r="A10" s="12"/>
      <c r="B10" s="12"/>
      <c r="C10" s="12"/>
    </row>
    <row r="11" spans="1:11">
      <c r="A11" s="12"/>
      <c r="B11" s="12"/>
      <c r="C11" s="12"/>
    </row>
    <row r="12" spans="1:11">
      <c r="A12" s="12"/>
      <c r="B12" s="12"/>
      <c r="C12" s="12"/>
    </row>
    <row r="13" spans="1:11">
      <c r="A13" s="12"/>
      <c r="B13" s="12"/>
      <c r="C13" s="12"/>
    </row>
    <row r="14" spans="1:11">
      <c r="A14" s="12"/>
      <c r="B14" s="12"/>
      <c r="C14" s="12"/>
    </row>
    <row r="15" spans="1:11">
      <c r="A15" s="12"/>
      <c r="B15" s="12"/>
      <c r="C15" s="12"/>
    </row>
    <row r="16" spans="1:11">
      <c r="A16" s="12"/>
      <c r="B16" s="12"/>
      <c r="C16" s="12"/>
    </row>
    <row r="17" spans="1:3">
      <c r="A17" s="12"/>
      <c r="B17" s="12"/>
      <c r="C17" s="12"/>
    </row>
    <row r="18" spans="1:3">
      <c r="A18" s="12"/>
      <c r="B18" s="12"/>
      <c r="C18" s="12"/>
    </row>
    <row r="19" spans="1:3">
      <c r="A19" s="12"/>
      <c r="B19" s="12"/>
      <c r="C19" s="12"/>
    </row>
    <row r="20" spans="1:3">
      <c r="A20" s="12"/>
      <c r="B20" s="12"/>
      <c r="C20" s="12"/>
    </row>
    <row r="21" spans="1:3">
      <c r="A21" s="12"/>
      <c r="B21" s="12"/>
      <c r="C21" s="12"/>
    </row>
    <row r="22" spans="1:3">
      <c r="A22" s="12"/>
      <c r="B22" s="12"/>
      <c r="C22" s="12"/>
    </row>
    <row r="23" spans="1:3">
      <c r="A23" s="12"/>
      <c r="B23" s="12"/>
      <c r="C23" s="12"/>
    </row>
    <row r="24" spans="1:3">
      <c r="A24" s="12"/>
      <c r="B24" s="12"/>
      <c r="C24" s="12"/>
    </row>
    <row r="25" spans="1:3">
      <c r="A25" s="12"/>
      <c r="B25" s="12"/>
      <c r="C25" s="12"/>
    </row>
    <row r="26" spans="1:3">
      <c r="A26" s="12"/>
      <c r="B26" s="12"/>
      <c r="C26" s="12"/>
    </row>
    <row r="27" spans="1:3">
      <c r="A27" s="12"/>
      <c r="B27" s="12"/>
      <c r="C27" s="12"/>
    </row>
    <row r="28" spans="1:3">
      <c r="A28" s="12"/>
      <c r="B28" s="12"/>
      <c r="C28" s="12"/>
    </row>
    <row r="29" spans="1:3">
      <c r="A29" s="12"/>
      <c r="B29" s="12"/>
      <c r="C29" s="12"/>
    </row>
    <row r="30" spans="1:3">
      <c r="A30" s="12"/>
      <c r="B30" s="12"/>
      <c r="C30" s="12"/>
    </row>
    <row r="31" spans="1:3">
      <c r="A31" s="12"/>
      <c r="B31" s="12"/>
      <c r="C31" s="12"/>
    </row>
    <row r="32" spans="1:3">
      <c r="A32" s="12"/>
      <c r="B32" s="12"/>
      <c r="C32" s="12"/>
    </row>
    <row r="33" spans="1:3">
      <c r="A33" s="12"/>
      <c r="B33" s="12"/>
      <c r="C33" s="12"/>
    </row>
    <row r="34" spans="1:3">
      <c r="A34" s="12"/>
      <c r="B34" s="12"/>
      <c r="C34" s="12"/>
    </row>
    <row r="35" spans="1:3">
      <c r="A35" s="12"/>
      <c r="B35" s="12"/>
      <c r="C35" s="12"/>
    </row>
    <row r="36" spans="1:3">
      <c r="A36" s="12"/>
      <c r="B36" s="12"/>
      <c r="C36" s="12"/>
    </row>
    <row r="37" spans="1:3">
      <c r="A37" s="12"/>
      <c r="B37" s="12"/>
      <c r="C37" s="12"/>
    </row>
    <row r="38" spans="1:3">
      <c r="A38" s="12"/>
      <c r="B38" s="12"/>
      <c r="C38" s="12"/>
    </row>
    <row r="39" spans="1:3">
      <c r="A39" s="12"/>
      <c r="B39" s="12"/>
      <c r="C39" s="12"/>
    </row>
    <row r="40" spans="1:3">
      <c r="A40" s="12"/>
      <c r="B40" s="12"/>
      <c r="C40" s="12"/>
    </row>
    <row r="41" spans="1:3">
      <c r="A41" s="12"/>
      <c r="B41" s="12"/>
      <c r="C41" s="12"/>
    </row>
    <row r="42" spans="1:3">
      <c r="A42" s="12"/>
      <c r="B42" s="12"/>
      <c r="C42" s="12"/>
    </row>
    <row r="43" spans="1:3">
      <c r="A43" s="12"/>
      <c r="B43" s="12"/>
      <c r="C43" s="12"/>
    </row>
    <row r="44" spans="1:3">
      <c r="A44" s="12"/>
      <c r="B44" s="12"/>
      <c r="C44" s="12"/>
    </row>
    <row r="45" spans="1:3">
      <c r="A45" s="12"/>
      <c r="B45" s="12"/>
      <c r="C45" s="12"/>
    </row>
    <row r="46" spans="1:3">
      <c r="A46" s="12"/>
      <c r="B46" s="12"/>
      <c r="C46" s="12"/>
    </row>
    <row r="47" spans="1:3">
      <c r="A47" s="12"/>
      <c r="B47" s="12"/>
      <c r="C47" s="12"/>
    </row>
    <row r="48" spans="1:3">
      <c r="A48" s="12"/>
      <c r="B48" s="12"/>
      <c r="C48" s="12"/>
    </row>
    <row r="49" spans="1:3">
      <c r="A49" s="12"/>
      <c r="B49" s="12"/>
      <c r="C49" s="12"/>
    </row>
    <row r="50" spans="1:3">
      <c r="A50" s="12"/>
      <c r="B50" s="12"/>
      <c r="C50" s="12"/>
    </row>
    <row r="51" spans="1:3">
      <c r="A51" s="12"/>
      <c r="B51" s="12"/>
      <c r="C51" s="12"/>
    </row>
    <row r="52" spans="1:3">
      <c r="A52" s="12"/>
      <c r="B52" s="12"/>
      <c r="C52" s="12"/>
    </row>
    <row r="53" spans="1:3">
      <c r="A53" s="12"/>
      <c r="B53" s="12"/>
      <c r="C53" s="12"/>
    </row>
    <row r="54" spans="1:3">
      <c r="A54" s="12"/>
      <c r="B54" s="12"/>
      <c r="C54" s="12"/>
    </row>
    <row r="55" spans="1:3">
      <c r="A55" s="12"/>
      <c r="B55" s="12"/>
      <c r="C55" s="12"/>
    </row>
    <row r="56" spans="1:3">
      <c r="A56" s="12"/>
      <c r="B56" s="12"/>
      <c r="C56" s="12"/>
    </row>
    <row r="57" spans="1:3">
      <c r="A57" s="12"/>
      <c r="B57" s="12"/>
      <c r="C57" s="12"/>
    </row>
    <row r="58" spans="1:3">
      <c r="A58" s="12"/>
      <c r="B58" s="12"/>
      <c r="C5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O29"/>
  <sheetViews>
    <sheetView tabSelected="1" workbookViewId="0">
      <selection activeCell="K11" sqref="K11"/>
    </sheetView>
  </sheetViews>
  <sheetFormatPr defaultColWidth="3.5703125" defaultRowHeight="15"/>
  <cols>
    <col min="1" max="1" width="15.85546875" style="1" customWidth="1"/>
    <col min="2" max="2" width="11.5703125" style="1" customWidth="1"/>
    <col min="3" max="3" width="12.5703125" style="1" bestFit="1" customWidth="1"/>
    <col min="4" max="4" width="10.85546875" style="1" customWidth="1"/>
    <col min="5" max="5" width="13.85546875" style="1" bestFit="1" customWidth="1"/>
    <col min="6" max="6" width="20.140625" style="1" customWidth="1"/>
    <col min="7" max="7" width="17.85546875" style="1" customWidth="1"/>
    <col min="8" max="8" width="16.5703125" style="1" customWidth="1"/>
    <col min="9" max="9" width="18.7109375" style="1" customWidth="1"/>
    <col min="10" max="10" width="18.85546875" style="1" customWidth="1"/>
    <col min="11" max="11" width="22.85546875" style="1" customWidth="1"/>
    <col min="12" max="12" width="16.85546875" style="1" customWidth="1"/>
    <col min="13" max="13" width="14.140625" style="1" customWidth="1"/>
    <col min="14" max="14" width="25" style="1" customWidth="1"/>
    <col min="15" max="15" width="31.42578125" style="1" customWidth="1"/>
    <col min="16" max="16" width="26.42578125" style="1" customWidth="1"/>
    <col min="17" max="17" width="26.140625" style="1" customWidth="1"/>
    <col min="18" max="18" width="23.85546875" style="1" customWidth="1"/>
    <col min="19" max="19" width="20.140625" style="2" customWidth="1"/>
    <col min="20" max="20" width="11.5703125" style="2" customWidth="1"/>
    <col min="21" max="21" width="22.5703125" style="2" customWidth="1"/>
    <col min="22" max="22" width="28.42578125" style="1" customWidth="1"/>
    <col min="23" max="23" width="11.5703125" style="3" customWidth="1"/>
    <col min="24" max="24" width="32" style="3" customWidth="1"/>
    <col min="25" max="67" width="11.5703125" style="3" customWidth="1"/>
    <col min="68" max="70" width="11.5703125" style="4" customWidth="1"/>
    <col min="71" max="72" width="13" style="4" customWidth="1"/>
    <col min="73" max="73" width="13" style="5" customWidth="1"/>
    <col min="74" max="75" width="13" style="1" customWidth="1"/>
    <col min="76" max="76" width="13" style="2" customWidth="1"/>
    <col min="77" max="81" width="13" style="1" customWidth="1"/>
    <col min="82" max="82" width="13" style="2" customWidth="1"/>
    <col min="83" max="93" width="13" style="1" customWidth="1"/>
    <col min="94" max="96" width="13" customWidth="1"/>
  </cols>
  <sheetData>
    <row r="1" spans="1:93" ht="36" customHeight="1">
      <c r="A1" s="11"/>
      <c r="B1" s="9" t="s">
        <v>1</v>
      </c>
      <c r="C1" s="9" t="s">
        <v>74</v>
      </c>
      <c r="D1" s="9" t="s">
        <v>2</v>
      </c>
      <c r="E1" s="9" t="s">
        <v>30</v>
      </c>
      <c r="F1" s="9" t="s">
        <v>75</v>
      </c>
      <c r="G1" s="9" t="s">
        <v>76</v>
      </c>
      <c r="H1" s="9" t="s">
        <v>77</v>
      </c>
      <c r="I1" s="9" t="s">
        <v>78</v>
      </c>
      <c r="J1" s="9" t="s">
        <v>79</v>
      </c>
      <c r="K1" s="10" t="s">
        <v>80</v>
      </c>
      <c r="L1" s="9" t="s">
        <v>81</v>
      </c>
      <c r="M1" s="15" t="s">
        <v>82</v>
      </c>
      <c r="N1" s="9" t="s">
        <v>83</v>
      </c>
      <c r="O1" s="9" t="s">
        <v>84</v>
      </c>
      <c r="P1" s="9" t="s">
        <v>85</v>
      </c>
      <c r="Q1" s="9" t="s">
        <v>86</v>
      </c>
      <c r="R1" s="9" t="s">
        <v>87</v>
      </c>
      <c r="S1" s="14" t="s">
        <v>88</v>
      </c>
      <c r="T1" s="9" t="s">
        <v>89</v>
      </c>
      <c r="U1" s="9" t="s">
        <v>90</v>
      </c>
      <c r="V1" s="9" t="s">
        <v>91</v>
      </c>
      <c r="W1" s="1"/>
      <c r="Z1" s="1"/>
      <c r="AA1" s="1"/>
      <c r="AB1" s="1"/>
      <c r="AC1" s="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</row>
    <row r="2" spans="1:93">
      <c r="A2" s="11" t="s">
        <v>14</v>
      </c>
      <c r="B2" s="9" t="s">
        <v>16</v>
      </c>
      <c r="C2" s="9" t="s">
        <v>52</v>
      </c>
      <c r="D2" s="9" t="s">
        <v>16</v>
      </c>
      <c r="E2" s="9" t="s">
        <v>17</v>
      </c>
      <c r="F2" s="9" t="s">
        <v>16</v>
      </c>
      <c r="G2" s="9" t="s">
        <v>16</v>
      </c>
      <c r="H2" s="9" t="s">
        <v>16</v>
      </c>
      <c r="I2" s="9" t="s">
        <v>92</v>
      </c>
      <c r="J2" s="9" t="s">
        <v>92</v>
      </c>
      <c r="K2" s="9" t="s">
        <v>49</v>
      </c>
      <c r="L2" s="9" t="s">
        <v>92</v>
      </c>
      <c r="M2" s="9" t="s">
        <v>49</v>
      </c>
      <c r="N2" s="9" t="s">
        <v>49</v>
      </c>
      <c r="O2" s="9" t="s">
        <v>49</v>
      </c>
      <c r="P2" s="9" t="s">
        <v>49</v>
      </c>
      <c r="Q2" s="9" t="s">
        <v>93</v>
      </c>
      <c r="R2" s="9" t="s">
        <v>94</v>
      </c>
      <c r="S2" s="9" t="s">
        <v>18</v>
      </c>
      <c r="T2" s="9" t="s">
        <v>18</v>
      </c>
      <c r="U2" s="9" t="s">
        <v>18</v>
      </c>
      <c r="V2" s="9" t="s">
        <v>18</v>
      </c>
    </row>
    <row r="3" spans="1:93">
      <c r="B3" s="17">
        <v>2</v>
      </c>
      <c r="C3" s="1" t="s">
        <v>95</v>
      </c>
      <c r="E3" s="21" t="s">
        <v>96</v>
      </c>
      <c r="F3" s="2">
        <v>7.9</v>
      </c>
      <c r="G3" s="2">
        <v>1.65</v>
      </c>
      <c r="H3" s="2">
        <f t="shared" ref="H3:H6" si="0">F3*G3</f>
        <v>13.035</v>
      </c>
      <c r="I3" s="9">
        <v>13300</v>
      </c>
      <c r="K3" s="15">
        <v>14.7</v>
      </c>
      <c r="M3" s="15">
        <v>10.1</v>
      </c>
    </row>
    <row r="4" spans="1:93">
      <c r="B4" s="17">
        <v>2</v>
      </c>
      <c r="C4" s="1" t="s">
        <v>97</v>
      </c>
      <c r="E4" s="21" t="s">
        <v>96</v>
      </c>
      <c r="F4" s="2">
        <v>8.6</v>
      </c>
      <c r="G4" s="2">
        <v>1.65</v>
      </c>
      <c r="H4" s="2">
        <f t="shared" si="0"/>
        <v>14.19</v>
      </c>
      <c r="I4" s="9">
        <v>15090</v>
      </c>
      <c r="K4" s="15">
        <v>15.3</v>
      </c>
      <c r="M4" s="15">
        <v>10.8</v>
      </c>
    </row>
    <row r="5" spans="1:93">
      <c r="B5" s="17">
        <v>1</v>
      </c>
      <c r="C5" s="1" t="s">
        <v>98</v>
      </c>
      <c r="E5" s="21" t="s">
        <v>96</v>
      </c>
      <c r="F5" s="2">
        <v>8.1</v>
      </c>
      <c r="G5" s="2">
        <v>1.65</v>
      </c>
      <c r="H5" s="2">
        <f t="shared" si="0"/>
        <v>13.364999999999998</v>
      </c>
      <c r="I5" s="9">
        <v>14810</v>
      </c>
      <c r="K5" s="15">
        <v>15.2</v>
      </c>
      <c r="M5" s="15">
        <v>10.9</v>
      </c>
    </row>
    <row r="6" spans="1:93">
      <c r="B6" s="17">
        <v>1</v>
      </c>
      <c r="C6" s="1" t="s">
        <v>99</v>
      </c>
      <c r="E6" s="21" t="s">
        <v>96</v>
      </c>
      <c r="F6" s="2">
        <v>7.8</v>
      </c>
      <c r="G6" s="2">
        <v>1.65</v>
      </c>
      <c r="H6" s="2">
        <f t="shared" si="0"/>
        <v>12.87</v>
      </c>
      <c r="I6" s="9">
        <v>14170</v>
      </c>
      <c r="K6" s="15">
        <v>15.2</v>
      </c>
      <c r="M6" s="15">
        <v>10.7</v>
      </c>
    </row>
    <row r="7" spans="1:93">
      <c r="E7" s="21"/>
    </row>
    <row r="8" spans="1:93">
      <c r="E8" s="21"/>
    </row>
    <row r="9" spans="1:93">
      <c r="E9" s="21"/>
    </row>
    <row r="10" spans="1:93">
      <c r="E10" s="21"/>
    </row>
    <row r="11" spans="1:93">
      <c r="E11" s="21"/>
    </row>
    <row r="12" spans="1:93">
      <c r="E12" s="21"/>
    </row>
    <row r="13" spans="1:93">
      <c r="E13" s="21"/>
    </row>
    <row r="14" spans="1:93">
      <c r="E14" s="21"/>
    </row>
    <row r="15" spans="1:93">
      <c r="E15" s="21"/>
    </row>
    <row r="16" spans="1:93">
      <c r="E16" s="21"/>
    </row>
    <row r="17" spans="5:5">
      <c r="E17" s="21"/>
    </row>
    <row r="18" spans="5:5">
      <c r="E18" s="21"/>
    </row>
    <row r="19" spans="5:5">
      <c r="E19" s="21"/>
    </row>
    <row r="20" spans="5:5">
      <c r="E20" s="21"/>
    </row>
    <row r="21" spans="5:5">
      <c r="E21" s="21"/>
    </row>
    <row r="22" spans="5:5">
      <c r="E22" s="21"/>
    </row>
    <row r="23" spans="5:5">
      <c r="E23" s="21"/>
    </row>
    <row r="24" spans="5:5">
      <c r="E24" s="21"/>
    </row>
    <row r="25" spans="5:5">
      <c r="E25" s="21"/>
    </row>
    <row r="26" spans="5:5">
      <c r="E26" s="21"/>
    </row>
    <row r="27" spans="5:5">
      <c r="E27" s="21"/>
    </row>
    <row r="28" spans="5:5">
      <c r="E28" s="21"/>
    </row>
    <row r="29" spans="5:5">
      <c r="E29" s="2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4"/>
  <sheetViews>
    <sheetView workbookViewId="0">
      <selection activeCell="E20" sqref="E20"/>
    </sheetView>
  </sheetViews>
  <sheetFormatPr defaultColWidth="8.7109375" defaultRowHeight="15"/>
  <cols>
    <col min="4" max="4" width="16.140625" customWidth="1"/>
    <col min="5" max="6" width="22.42578125" customWidth="1"/>
    <col min="7" max="14" width="19.42578125" customWidth="1"/>
    <col min="15" max="15" width="26.42578125" customWidth="1"/>
    <col min="16" max="16" width="14" customWidth="1"/>
    <col min="17" max="17" width="13.140625" customWidth="1"/>
    <col min="18" max="18" width="17.85546875" customWidth="1"/>
  </cols>
  <sheetData>
    <row r="1" spans="1:22" ht="27.95" customHeight="1">
      <c r="A1" s="11"/>
      <c r="B1" s="6" t="s">
        <v>1</v>
      </c>
      <c r="C1" s="6" t="s">
        <v>100</v>
      </c>
      <c r="D1" s="6" t="s">
        <v>2</v>
      </c>
      <c r="E1" s="6" t="s">
        <v>101</v>
      </c>
      <c r="F1" s="6" t="s">
        <v>30</v>
      </c>
      <c r="G1" s="11" t="s">
        <v>102</v>
      </c>
      <c r="H1" s="11" t="s">
        <v>103</v>
      </c>
      <c r="I1" s="11" t="s">
        <v>104</v>
      </c>
      <c r="J1" s="11" t="s">
        <v>105</v>
      </c>
      <c r="K1" s="11" t="s">
        <v>106</v>
      </c>
      <c r="L1" s="11" t="s">
        <v>107</v>
      </c>
      <c r="M1" s="11" t="s">
        <v>108</v>
      </c>
      <c r="N1" s="11" t="s">
        <v>109</v>
      </c>
      <c r="O1" s="11" t="s">
        <v>110</v>
      </c>
      <c r="P1" s="11" t="s">
        <v>36</v>
      </c>
      <c r="Q1" s="11" t="s">
        <v>37</v>
      </c>
      <c r="R1" s="11" t="s">
        <v>39</v>
      </c>
      <c r="S1" s="11" t="s">
        <v>40</v>
      </c>
      <c r="T1" s="11" t="s">
        <v>41</v>
      </c>
      <c r="U1" s="11" t="s">
        <v>111</v>
      </c>
      <c r="V1" s="11" t="s">
        <v>112</v>
      </c>
    </row>
    <row r="2" spans="1:22">
      <c r="A2" s="19" t="s">
        <v>14</v>
      </c>
      <c r="B2" s="19" t="s">
        <v>16</v>
      </c>
      <c r="C2" s="19" t="s">
        <v>52</v>
      </c>
      <c r="D2" s="19" t="s">
        <v>16</v>
      </c>
      <c r="E2" s="19" t="s">
        <v>16</v>
      </c>
      <c r="F2" s="19" t="s">
        <v>17</v>
      </c>
      <c r="G2" s="19" t="s">
        <v>92</v>
      </c>
      <c r="H2" s="19" t="s">
        <v>92</v>
      </c>
      <c r="I2" s="19" t="s">
        <v>92</v>
      </c>
      <c r="J2" s="19" t="s">
        <v>49</v>
      </c>
      <c r="K2" s="19" t="s">
        <v>113</v>
      </c>
      <c r="L2" s="19" t="s">
        <v>92</v>
      </c>
      <c r="M2" s="19" t="s">
        <v>18</v>
      </c>
      <c r="N2" s="19" t="s">
        <v>18</v>
      </c>
      <c r="O2" s="19" t="s">
        <v>15</v>
      </c>
      <c r="P2" s="11" t="s">
        <v>49</v>
      </c>
      <c r="Q2" s="11" t="s">
        <v>49</v>
      </c>
      <c r="R2" s="11" t="s">
        <v>49</v>
      </c>
      <c r="S2" s="11" t="s">
        <v>49</v>
      </c>
      <c r="T2" s="11" t="s">
        <v>18</v>
      </c>
      <c r="U2" s="11" t="s">
        <v>18</v>
      </c>
      <c r="V2" s="11" t="s">
        <v>18</v>
      </c>
    </row>
    <row r="3" spans="1:22">
      <c r="B3" s="18"/>
      <c r="F3" s="20"/>
    </row>
    <row r="4" spans="1:22">
      <c r="B4" s="18"/>
      <c r="F4" s="20"/>
    </row>
    <row r="5" spans="1:22">
      <c r="B5" s="18"/>
      <c r="F5" s="20"/>
    </row>
    <row r="6" spans="1:22">
      <c r="B6" s="18"/>
      <c r="F6" s="20"/>
    </row>
    <row r="7" spans="1:22">
      <c r="B7" s="18"/>
      <c r="F7" s="20"/>
    </row>
    <row r="8" spans="1:22">
      <c r="B8" s="18"/>
      <c r="F8" s="20"/>
    </row>
    <row r="9" spans="1:22">
      <c r="B9" s="18"/>
      <c r="F9" s="20"/>
    </row>
    <row r="10" spans="1:22">
      <c r="B10" s="18"/>
      <c r="F10" s="20"/>
    </row>
    <row r="11" spans="1:22">
      <c r="B11" s="18"/>
      <c r="F11" s="20"/>
    </row>
    <row r="12" spans="1:22">
      <c r="B12" s="18"/>
      <c r="F12" s="20"/>
    </row>
    <row r="13" spans="1:22">
      <c r="B13" s="18"/>
      <c r="F13" s="20"/>
    </row>
    <row r="14" spans="1:22">
      <c r="B14" s="18"/>
      <c r="F14" s="20"/>
    </row>
    <row r="15" spans="1:22">
      <c r="B15" s="18"/>
      <c r="F15" s="20"/>
    </row>
    <row r="16" spans="1:22">
      <c r="B16" s="18"/>
      <c r="F16" s="20"/>
    </row>
    <row r="17" spans="2:6">
      <c r="B17" s="18"/>
      <c r="F17" s="20"/>
    </row>
    <row r="18" spans="2:6">
      <c r="B18" s="18"/>
      <c r="F18" s="20"/>
    </row>
    <row r="19" spans="2:6">
      <c r="F19" s="20"/>
    </row>
    <row r="20" spans="2:6">
      <c r="F20" s="20"/>
    </row>
    <row r="21" spans="2:6">
      <c r="F21" s="20"/>
    </row>
    <row r="22" spans="2:6">
      <c r="F22" s="20"/>
    </row>
    <row r="23" spans="2:6">
      <c r="F23" s="20"/>
    </row>
    <row r="24" spans="2:6">
      <c r="F2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4"/>
  <sheetViews>
    <sheetView workbookViewId="0">
      <selection activeCell="B29" sqref="B29"/>
    </sheetView>
  </sheetViews>
  <sheetFormatPr defaultColWidth="11.42578125" defaultRowHeight="15"/>
  <sheetData>
    <row r="1" spans="1:2">
      <c r="A1" t="s">
        <v>114</v>
      </c>
    </row>
    <row r="3" spans="1:2">
      <c r="A3" t="s">
        <v>115</v>
      </c>
      <c r="B3" t="s">
        <v>116</v>
      </c>
    </row>
    <row r="4" spans="1:2">
      <c r="A4" s="5">
        <v>0</v>
      </c>
      <c r="B4" s="2">
        <v>5.0999999999999996</v>
      </c>
    </row>
    <row r="5" spans="1:2">
      <c r="A5">
        <v>0.1</v>
      </c>
      <c r="B5" s="2">
        <v>5.04</v>
      </c>
    </row>
    <row r="6" spans="1:2">
      <c r="A6" s="5">
        <v>0.2</v>
      </c>
      <c r="B6" s="2">
        <v>4.9800000000000004</v>
      </c>
    </row>
    <row r="7" spans="1:2">
      <c r="A7">
        <v>0.3</v>
      </c>
      <c r="B7" s="2">
        <v>4.92</v>
      </c>
    </row>
    <row r="8" spans="1:2">
      <c r="A8" s="5">
        <v>0.4</v>
      </c>
      <c r="B8" s="2">
        <v>4.8600000000000003</v>
      </c>
    </row>
    <row r="9" spans="1:2">
      <c r="A9">
        <v>0.5</v>
      </c>
      <c r="B9" s="2">
        <v>4.8</v>
      </c>
    </row>
    <row r="10" spans="1:2">
      <c r="A10" s="5">
        <v>0.6</v>
      </c>
      <c r="B10" s="2">
        <v>4.74</v>
      </c>
    </row>
    <row r="11" spans="1:2">
      <c r="A11">
        <v>0.7</v>
      </c>
      <c r="B11" s="2">
        <v>4.68</v>
      </c>
    </row>
    <row r="12" spans="1:2">
      <c r="A12" s="5">
        <v>0.8</v>
      </c>
      <c r="B12" s="2">
        <v>4.62</v>
      </c>
    </row>
    <row r="13" spans="1:2">
      <c r="A13">
        <v>0.9</v>
      </c>
      <c r="B13" s="2">
        <v>4.5599999999999996</v>
      </c>
    </row>
    <row r="14" spans="1:2">
      <c r="A14" s="5">
        <v>1</v>
      </c>
      <c r="B14" s="2">
        <v>4.5</v>
      </c>
    </row>
    <row r="15" spans="1:2">
      <c r="A15">
        <v>1.1000000000000001</v>
      </c>
      <c r="B15" s="2">
        <v>4.4400000000000004</v>
      </c>
    </row>
    <row r="16" spans="1:2">
      <c r="A16" s="5">
        <v>1.2</v>
      </c>
      <c r="B16" s="2">
        <v>4.38</v>
      </c>
    </row>
    <row r="17" spans="1:2">
      <c r="A17">
        <v>1.3</v>
      </c>
      <c r="B17" s="2">
        <v>4.32</v>
      </c>
    </row>
    <row r="18" spans="1:2">
      <c r="A18" s="5">
        <v>1.4</v>
      </c>
      <c r="B18" s="2">
        <v>4.26</v>
      </c>
    </row>
    <row r="19" spans="1:2">
      <c r="A19">
        <v>1.5</v>
      </c>
      <c r="B19" s="2">
        <v>4.2</v>
      </c>
    </row>
    <row r="20" spans="1:2">
      <c r="A20" s="5">
        <v>1.6</v>
      </c>
      <c r="B20" s="2">
        <v>4.1399999999999997</v>
      </c>
    </row>
    <row r="21" spans="1:2">
      <c r="A21">
        <v>1.7</v>
      </c>
      <c r="B21" s="2">
        <v>4.08</v>
      </c>
    </row>
    <row r="22" spans="1:2">
      <c r="A22" s="5">
        <v>1.8</v>
      </c>
      <c r="B22" s="2">
        <v>4.0199999999999996</v>
      </c>
    </row>
    <row r="23" spans="1:2">
      <c r="A23">
        <v>1.9</v>
      </c>
      <c r="B23" s="2">
        <v>3.96</v>
      </c>
    </row>
    <row r="24" spans="1:2">
      <c r="A24" s="5">
        <v>2</v>
      </c>
      <c r="B24" s="2">
        <v>3.9</v>
      </c>
    </row>
    <row r="25" spans="1:2">
      <c r="A25">
        <v>2.1</v>
      </c>
      <c r="B25" s="2">
        <v>3.84</v>
      </c>
    </row>
    <row r="26" spans="1:2">
      <c r="A26" s="5">
        <v>2.2000000000000002</v>
      </c>
      <c r="B26" s="2">
        <v>3.78</v>
      </c>
    </row>
    <row r="27" spans="1:2">
      <c r="A27">
        <v>2.2999999999999998</v>
      </c>
      <c r="B27" s="2">
        <v>3.71</v>
      </c>
    </row>
    <row r="28" spans="1:2">
      <c r="A28" s="5">
        <v>2.4</v>
      </c>
      <c r="B28" s="2">
        <v>3.65</v>
      </c>
    </row>
    <row r="29" spans="1:2">
      <c r="A29">
        <v>2.5</v>
      </c>
      <c r="B29" s="2">
        <v>3.6</v>
      </c>
    </row>
    <row r="30" spans="1:2">
      <c r="A30" s="5">
        <v>2.6</v>
      </c>
      <c r="B30" s="2">
        <v>3.57</v>
      </c>
    </row>
    <row r="31" spans="1:2">
      <c r="A31">
        <v>2.7</v>
      </c>
      <c r="B31" s="2">
        <v>3.54</v>
      </c>
    </row>
    <row r="32" spans="1:2">
      <c r="A32" s="5">
        <v>2.8</v>
      </c>
      <c r="B32" s="2">
        <v>3.51</v>
      </c>
    </row>
    <row r="33" spans="1:2">
      <c r="A33">
        <v>2.9</v>
      </c>
      <c r="B33" s="2">
        <v>3.48</v>
      </c>
    </row>
    <row r="34" spans="1:2">
      <c r="A34" s="5">
        <v>3</v>
      </c>
      <c r="B34" s="2">
        <v>3.45</v>
      </c>
    </row>
    <row r="35" spans="1:2">
      <c r="A35">
        <v>3.1</v>
      </c>
      <c r="B35" s="2">
        <v>3.42</v>
      </c>
    </row>
    <row r="36" spans="1:2">
      <c r="A36" s="5">
        <v>3.2</v>
      </c>
      <c r="B36" s="2">
        <v>3.39</v>
      </c>
    </row>
    <row r="37" spans="1:2">
      <c r="A37">
        <v>3.3</v>
      </c>
      <c r="B37" s="2">
        <v>3.36</v>
      </c>
    </row>
    <row r="38" spans="1:2">
      <c r="A38" s="5">
        <v>3.4</v>
      </c>
      <c r="B38" s="2">
        <v>3.33</v>
      </c>
    </row>
    <row r="39" spans="1:2">
      <c r="A39">
        <v>3.5</v>
      </c>
      <c r="B39" s="2">
        <v>3.3</v>
      </c>
    </row>
    <row r="40" spans="1:2">
      <c r="A40" s="5">
        <v>3.6</v>
      </c>
      <c r="B40" s="2">
        <v>3.27</v>
      </c>
    </row>
    <row r="41" spans="1:2">
      <c r="A41">
        <v>3.7</v>
      </c>
      <c r="B41" s="2">
        <v>3.24</v>
      </c>
    </row>
    <row r="42" spans="1:2">
      <c r="A42" s="5">
        <v>3.8</v>
      </c>
      <c r="B42" s="2">
        <v>3.21</v>
      </c>
    </row>
    <row r="43" spans="1:2">
      <c r="A43">
        <v>3.9</v>
      </c>
      <c r="B43" s="2">
        <v>3.18</v>
      </c>
    </row>
    <row r="44" spans="1:2">
      <c r="A44" s="5">
        <v>4</v>
      </c>
      <c r="B44" s="2">
        <v>3.15</v>
      </c>
    </row>
    <row r="45" spans="1:2">
      <c r="A45">
        <v>4.0999999999999996</v>
      </c>
      <c r="B45" s="2">
        <v>3.13</v>
      </c>
    </row>
    <row r="46" spans="1:2">
      <c r="A46" s="5">
        <v>4.2</v>
      </c>
      <c r="B46" s="2">
        <v>3.12</v>
      </c>
    </row>
    <row r="47" spans="1:2">
      <c r="A47">
        <v>4.3</v>
      </c>
      <c r="B47" s="2">
        <v>3.11</v>
      </c>
    </row>
    <row r="48" spans="1:2">
      <c r="A48" s="5">
        <v>4.4000000000000004</v>
      </c>
      <c r="B48" s="2">
        <v>3.19</v>
      </c>
    </row>
    <row r="49" spans="1:2">
      <c r="A49">
        <v>4.5</v>
      </c>
      <c r="B49" s="2">
        <v>3.08</v>
      </c>
    </row>
    <row r="50" spans="1:2">
      <c r="A50" s="5">
        <v>4.5999999999999996</v>
      </c>
      <c r="B50" s="2">
        <v>3.07</v>
      </c>
    </row>
    <row r="51" spans="1:2">
      <c r="A51">
        <v>4.7</v>
      </c>
      <c r="B51" s="2">
        <v>3.05</v>
      </c>
    </row>
    <row r="52" spans="1:2">
      <c r="A52" s="5">
        <v>4.8</v>
      </c>
      <c r="B52" s="2">
        <v>3.04</v>
      </c>
    </row>
    <row r="53" spans="1:2">
      <c r="A53">
        <v>4.9000000000000004</v>
      </c>
      <c r="B53" s="2">
        <v>3.03</v>
      </c>
    </row>
    <row r="54" spans="1:2">
      <c r="A54" s="5">
        <v>5</v>
      </c>
      <c r="B54" s="2">
        <v>3.02</v>
      </c>
    </row>
    <row r="55" spans="1:2">
      <c r="A55">
        <v>5.0999999999999996</v>
      </c>
      <c r="B55" s="2">
        <v>3</v>
      </c>
    </row>
    <row r="56" spans="1:2">
      <c r="A56" s="5">
        <v>5.2</v>
      </c>
      <c r="B56" s="2">
        <v>2.99</v>
      </c>
    </row>
    <row r="57" spans="1:2">
      <c r="A57">
        <v>5.3</v>
      </c>
      <c r="B57" s="2">
        <v>2.98</v>
      </c>
    </row>
    <row r="58" spans="1:2">
      <c r="A58" s="5">
        <v>5.4</v>
      </c>
      <c r="B58" s="2">
        <v>2.96</v>
      </c>
    </row>
    <row r="59" spans="1:2">
      <c r="A59">
        <v>5.5</v>
      </c>
      <c r="B59" s="2">
        <v>2.95</v>
      </c>
    </row>
    <row r="60" spans="1:2">
      <c r="A60" s="5">
        <v>5.6</v>
      </c>
      <c r="B60" s="2">
        <v>2.93</v>
      </c>
    </row>
    <row r="61" spans="1:2">
      <c r="A61">
        <v>5.7</v>
      </c>
      <c r="B61" s="2">
        <v>2.92</v>
      </c>
    </row>
    <row r="62" spans="1:2">
      <c r="A62" s="5">
        <v>5.8</v>
      </c>
      <c r="B62" s="2">
        <v>2.91</v>
      </c>
    </row>
    <row r="63" spans="1:2">
      <c r="A63">
        <v>5.9</v>
      </c>
      <c r="B63" s="2">
        <v>2.89</v>
      </c>
    </row>
    <row r="64" spans="1:2">
      <c r="A64" s="5">
        <v>6</v>
      </c>
      <c r="B64" s="2">
        <v>2.88</v>
      </c>
    </row>
    <row r="65" spans="1:2">
      <c r="A65">
        <v>6.1</v>
      </c>
      <c r="B65" s="2">
        <v>2.87</v>
      </c>
    </row>
    <row r="66" spans="1:2">
      <c r="A66" s="5">
        <v>6.2</v>
      </c>
      <c r="B66" s="2">
        <v>2.85</v>
      </c>
    </row>
    <row r="67" spans="1:2">
      <c r="A67">
        <v>6.3</v>
      </c>
      <c r="B67" s="2">
        <v>2.84</v>
      </c>
    </row>
    <row r="68" spans="1:2">
      <c r="A68" s="5">
        <v>6.4</v>
      </c>
      <c r="B68" s="2">
        <v>2.83</v>
      </c>
    </row>
    <row r="69" spans="1:2">
      <c r="A69">
        <v>6.5</v>
      </c>
      <c r="B69" s="2">
        <v>2.82</v>
      </c>
    </row>
    <row r="70" spans="1:2">
      <c r="A70" s="5">
        <v>6.6</v>
      </c>
      <c r="B70" s="2">
        <v>2.8</v>
      </c>
    </row>
    <row r="71" spans="1:2">
      <c r="A71">
        <v>6.7</v>
      </c>
      <c r="B71" s="2">
        <v>2.79</v>
      </c>
    </row>
    <row r="72" spans="1:2">
      <c r="A72" s="5">
        <v>6.8</v>
      </c>
      <c r="B72" s="2">
        <v>2.78</v>
      </c>
    </row>
    <row r="73" spans="1:2">
      <c r="A73">
        <v>6.9</v>
      </c>
      <c r="B73" s="2">
        <v>2.76</v>
      </c>
    </row>
    <row r="74" spans="1:2">
      <c r="A74" s="5">
        <v>7</v>
      </c>
      <c r="B74" s="2">
        <v>2.75</v>
      </c>
    </row>
    <row r="75" spans="1:2">
      <c r="A75">
        <v>7.1</v>
      </c>
      <c r="B75" s="2">
        <v>2.73</v>
      </c>
    </row>
    <row r="76" spans="1:2">
      <c r="A76" s="5">
        <v>7.2</v>
      </c>
      <c r="B76" s="2">
        <v>2.72</v>
      </c>
    </row>
    <row r="77" spans="1:2">
      <c r="A77">
        <v>7.3</v>
      </c>
      <c r="B77" s="2">
        <v>2.71</v>
      </c>
    </row>
    <row r="78" spans="1:2">
      <c r="A78" s="5">
        <v>7.4</v>
      </c>
      <c r="B78" s="2">
        <v>2.69</v>
      </c>
    </row>
    <row r="79" spans="1:2">
      <c r="A79">
        <v>7.5</v>
      </c>
      <c r="B79" s="2">
        <v>2.68</v>
      </c>
    </row>
    <row r="80" spans="1:2">
      <c r="A80" s="5">
        <v>7.6</v>
      </c>
      <c r="B80" s="2">
        <v>2.67</v>
      </c>
    </row>
    <row r="81" spans="1:2">
      <c r="A81">
        <v>7.7</v>
      </c>
      <c r="B81" s="2">
        <v>2.66</v>
      </c>
    </row>
    <row r="82" spans="1:2">
      <c r="A82" s="5">
        <v>7.8</v>
      </c>
      <c r="B82" s="2">
        <v>2.64</v>
      </c>
    </row>
    <row r="83" spans="1:2">
      <c r="A83">
        <v>7.9</v>
      </c>
      <c r="B83" s="2">
        <v>2.63</v>
      </c>
    </row>
    <row r="84" spans="1:2">
      <c r="A84" s="5">
        <v>8</v>
      </c>
      <c r="B84" s="2">
        <v>2.62</v>
      </c>
    </row>
    <row r="85" spans="1:2">
      <c r="A85">
        <v>8.1</v>
      </c>
      <c r="B85" s="2">
        <v>2.6</v>
      </c>
    </row>
    <row r="86" spans="1:2">
      <c r="A86" s="5">
        <v>8.1999999999999993</v>
      </c>
      <c r="B86" s="2">
        <v>2.59</v>
      </c>
    </row>
    <row r="87" spans="1:2">
      <c r="A87">
        <v>8.3000000000000007</v>
      </c>
      <c r="B87" s="2">
        <v>2.58</v>
      </c>
    </row>
    <row r="88" spans="1:2">
      <c r="A88" s="5">
        <v>8.4</v>
      </c>
      <c r="B88" s="2">
        <v>2.56</v>
      </c>
    </row>
    <row r="89" spans="1:2">
      <c r="A89">
        <v>8.5</v>
      </c>
      <c r="B89" s="2">
        <v>2.5499999999999998</v>
      </c>
    </row>
    <row r="90" spans="1:2">
      <c r="A90" s="5">
        <v>8.6</v>
      </c>
      <c r="B90" s="2">
        <v>2.54</v>
      </c>
    </row>
    <row r="91" spans="1:2">
      <c r="A91">
        <v>8.6999999999999904</v>
      </c>
      <c r="B91" s="2">
        <v>2.5299999999999998</v>
      </c>
    </row>
    <row r="92" spans="1:2">
      <c r="A92" s="5">
        <v>8.7999999999999901</v>
      </c>
      <c r="B92" s="2">
        <v>2.52</v>
      </c>
    </row>
    <row r="93" spans="1:2">
      <c r="A93">
        <v>8.8999999999999897</v>
      </c>
      <c r="B93" s="2">
        <v>2.5099999999999998</v>
      </c>
    </row>
    <row r="94" spans="1:2">
      <c r="A94" s="5">
        <v>8.9999999999999893</v>
      </c>
      <c r="B94" s="2">
        <v>2.5</v>
      </c>
    </row>
    <row r="95" spans="1:2">
      <c r="A95">
        <v>9.0999999999999908</v>
      </c>
      <c r="B95" s="2">
        <v>2.4900000000000002</v>
      </c>
    </row>
    <row r="96" spans="1:2">
      <c r="A96" s="5">
        <v>9.1999999999999904</v>
      </c>
      <c r="B96" s="2">
        <v>2.48</v>
      </c>
    </row>
    <row r="97" spans="1:2">
      <c r="A97">
        <v>9.2999999999999901</v>
      </c>
      <c r="B97" s="2">
        <v>2.4700000000000002</v>
      </c>
    </row>
    <row r="98" spans="1:2">
      <c r="A98" s="5">
        <v>9.3999999999999897</v>
      </c>
      <c r="B98" s="2">
        <v>2.46</v>
      </c>
    </row>
    <row r="99" spans="1:2">
      <c r="A99">
        <v>9.4999999999999893</v>
      </c>
      <c r="B99" s="2">
        <v>2.4500000000000002</v>
      </c>
    </row>
    <row r="100" spans="1:2">
      <c r="A100" s="5">
        <v>9.5999999999999908</v>
      </c>
      <c r="B100" s="2">
        <v>2.42</v>
      </c>
    </row>
    <row r="101" spans="1:2">
      <c r="A101">
        <v>9.6999999999999904</v>
      </c>
      <c r="B101" s="2">
        <v>2.4</v>
      </c>
    </row>
    <row r="102" spans="1:2">
      <c r="A102" s="5">
        <v>9.7999999999999901</v>
      </c>
      <c r="B102" s="2">
        <v>2.39</v>
      </c>
    </row>
    <row r="103" spans="1:2">
      <c r="A103">
        <v>9.8999999999999897</v>
      </c>
      <c r="B103" s="2">
        <v>2.37</v>
      </c>
    </row>
    <row r="104" spans="1:2">
      <c r="A104" s="5">
        <v>9.9999999999999893</v>
      </c>
      <c r="B104" s="2">
        <v>2.35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Prankl Peter</dc:creator>
  <cp:keywords/>
  <dc:description/>
  <cp:lastModifiedBy>Ettlinger Andreas</cp:lastModifiedBy>
  <cp:revision/>
  <dcterms:created xsi:type="dcterms:W3CDTF">2024-12-27T17:49:00Z</dcterms:created>
  <dcterms:modified xsi:type="dcterms:W3CDTF">2025-10-30T09:29:46Z</dcterms:modified>
  <cp:category/>
  <cp:contentStatus/>
</cp:coreProperties>
</file>